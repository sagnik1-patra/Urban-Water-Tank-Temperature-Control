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belanger_worldbank_org/Documents/SriLanka_Transport/For_upload/Results/"/>
    </mc:Choice>
  </mc:AlternateContent>
  <xr:revisionPtr revIDLastSave="0" documentId="8_{4B73C7F1-C89B-407B-8B45-95C2FC55C994}" xr6:coauthVersionLast="45" xr6:coauthVersionMax="45" xr10:uidLastSave="{00000000-0000-0000-0000-000000000000}"/>
  <bookViews>
    <workbookView xWindow="-110" yWindow="-110" windowWidth="19420" windowHeight="10420"/>
  </bookViews>
  <sheets>
    <sheet name="cities_results_57segments_20+se" sheetId="1" r:id="rId1"/>
  </sheets>
  <calcPr calcId="0"/>
</workbook>
</file>

<file path=xl/calcChain.xml><?xml version="1.0" encoding="utf-8"?>
<calcChain xmlns="http://schemas.openxmlformats.org/spreadsheetml/2006/main">
  <c r="N15" i="1" l="1"/>
  <c r="N16" i="1"/>
  <c r="N23" i="1"/>
  <c r="N24" i="1"/>
  <c r="N31" i="1"/>
  <c r="N32" i="1"/>
  <c r="N39" i="1"/>
  <c r="N40" i="1"/>
  <c r="N47" i="1"/>
  <c r="N48" i="1"/>
  <c r="N55" i="1"/>
  <c r="N56" i="1"/>
  <c r="M6" i="1"/>
  <c r="M7" i="1"/>
  <c r="M14" i="1"/>
  <c r="M15" i="1"/>
  <c r="M22" i="1"/>
  <c r="M23" i="1"/>
  <c r="M30" i="1"/>
  <c r="M31" i="1"/>
  <c r="M38" i="1"/>
  <c r="M39" i="1"/>
  <c r="M46" i="1"/>
  <c r="M47" i="1"/>
  <c r="M54" i="1"/>
  <c r="M55" i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L16" i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L24" i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L32" i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L40" i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L48" i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L56" i="1"/>
  <c r="L57" i="1"/>
  <c r="N57" i="1" s="1"/>
  <c r="L58" i="1"/>
  <c r="N58" i="1" s="1"/>
  <c r="L2" i="1"/>
  <c r="N2" i="1" s="1"/>
  <c r="J3" i="1"/>
  <c r="M3" i="1" s="1"/>
  <c r="J4" i="1"/>
  <c r="M4" i="1" s="1"/>
  <c r="J5" i="1"/>
  <c r="M5" i="1" s="1"/>
  <c r="J6" i="1"/>
  <c r="J7" i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J15" i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2" i="1"/>
  <c r="J23" i="1"/>
  <c r="J24" i="1"/>
  <c r="M24" i="1" s="1"/>
  <c r="J25" i="1"/>
  <c r="M25" i="1" s="1"/>
  <c r="J26" i="1"/>
  <c r="M26" i="1" s="1"/>
  <c r="J27" i="1"/>
  <c r="M27" i="1" s="1"/>
  <c r="J28" i="1"/>
  <c r="M28" i="1" s="1"/>
  <c r="J29" i="1"/>
  <c r="M29" i="1" s="1"/>
  <c r="J30" i="1"/>
  <c r="J31" i="1"/>
  <c r="J32" i="1"/>
  <c r="M32" i="1" s="1"/>
  <c r="J33" i="1"/>
  <c r="M33" i="1" s="1"/>
  <c r="J34" i="1"/>
  <c r="M34" i="1" s="1"/>
  <c r="J35" i="1"/>
  <c r="M35" i="1" s="1"/>
  <c r="J36" i="1"/>
  <c r="M36" i="1" s="1"/>
  <c r="J37" i="1"/>
  <c r="M37" i="1" s="1"/>
  <c r="J38" i="1"/>
  <c r="J39" i="1"/>
  <c r="J40" i="1"/>
  <c r="M40" i="1" s="1"/>
  <c r="J41" i="1"/>
  <c r="M41" i="1" s="1"/>
  <c r="J42" i="1"/>
  <c r="M42" i="1" s="1"/>
  <c r="J43" i="1"/>
  <c r="M43" i="1" s="1"/>
  <c r="J44" i="1"/>
  <c r="M44" i="1" s="1"/>
  <c r="J45" i="1"/>
  <c r="M45" i="1" s="1"/>
  <c r="J46" i="1"/>
  <c r="J47" i="1"/>
  <c r="J48" i="1"/>
  <c r="M48" i="1" s="1"/>
  <c r="J49" i="1"/>
  <c r="M49" i="1" s="1"/>
  <c r="J50" i="1"/>
  <c r="M50" i="1" s="1"/>
  <c r="J51" i="1"/>
  <c r="M51" i="1" s="1"/>
  <c r="J52" i="1"/>
  <c r="M52" i="1" s="1"/>
  <c r="J53" i="1"/>
  <c r="M53" i="1" s="1"/>
  <c r="J54" i="1"/>
  <c r="J55" i="1"/>
  <c r="J56" i="1"/>
  <c r="M56" i="1" s="1"/>
  <c r="J57" i="1"/>
  <c r="M57" i="1" s="1"/>
  <c r="J58" i="1"/>
  <c r="M58" i="1" s="1"/>
  <c r="J2" i="1"/>
  <c r="M2" i="1" s="1"/>
</calcChain>
</file>

<file path=xl/sharedStrings.xml><?xml version="1.0" encoding="utf-8"?>
<sst xmlns="http://schemas.openxmlformats.org/spreadsheetml/2006/main" count="128" uniqueCount="25">
  <si>
    <t>tertiary</t>
  </si>
  <si>
    <t>Trincomalee</t>
  </si>
  <si>
    <t>residential</t>
  </si>
  <si>
    <t>Matale</t>
  </si>
  <si>
    <t>Galle</t>
  </si>
  <si>
    <t>secondary</t>
  </si>
  <si>
    <t>Kandy</t>
  </si>
  <si>
    <t>Puttalam</t>
  </si>
  <si>
    <t>Nuwara Eliya</t>
  </si>
  <si>
    <t>Colombo</t>
  </si>
  <si>
    <t>Gampaha</t>
  </si>
  <si>
    <t>Origin</t>
  </si>
  <si>
    <t>Destination</t>
  </si>
  <si>
    <t>Nearest City</t>
  </si>
  <si>
    <t>Length (KM)</t>
  </si>
  <si>
    <t>Road Type</t>
  </si>
  <si>
    <t>Tourism Sites</t>
  </si>
  <si>
    <t>Improved Speed</t>
  </si>
  <si>
    <t>Original Speed (7-day traffic mean)</t>
  </si>
  <si>
    <t xml:space="preserve">Seconds Saved </t>
  </si>
  <si>
    <t>Minutes Saved (per single, one-way trip)</t>
  </si>
  <si>
    <t>Weighted Seconds Saved</t>
  </si>
  <si>
    <t>Weighted Minutes Saved (per single, one-way trip)</t>
  </si>
  <si>
    <t>Improvement Efficiency (min/length)</t>
  </si>
  <si>
    <t>Weighted Improvement Efficiency (weighted min/length)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</si>
</sst>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topLeftCell="E1" workbookViewId="0">
      <selection activeCell="P4" sqref="P4"/>
    </sheetView>
  </sheetViews>
  <sheetFormatPr defaultRowHeight="14.5" x14ac:dyDescent="0.35"/>
  <cols>
    <col min="1" max="1" width="13.90625" customWidth="1"/>
    <col min="2" max="2" width="13.7265625" customWidth="1"/>
    <col min="3" max="3" width="11.453125" customWidth="1"/>
    <col min="4" max="4" width="11.54296875" customWidth="1"/>
    <col min="5" max="5" width="12.81640625" customWidth="1"/>
    <col min="6" max="6" width="14.08984375" customWidth="1"/>
    <col min="7" max="7" width="15.90625" customWidth="1"/>
    <col min="8" max="9" width="17.36328125" customWidth="1"/>
    <col min="10" max="10" width="14.36328125" customWidth="1"/>
    <col min="11" max="12" width="17.36328125" customWidth="1"/>
    <col min="13" max="13" width="13.81640625" customWidth="1"/>
    <col min="14" max="14" width="15.36328125" customWidth="1"/>
  </cols>
  <sheetData>
    <row r="1" spans="1:14" s="1" customFormat="1" ht="130.5" x14ac:dyDescent="0.35">
      <c r="A1" s="1" t="s">
        <v>11</v>
      </c>
      <c r="B1" s="1" t="s">
        <v>12</v>
      </c>
      <c r="C1" s="1" t="s">
        <v>13</v>
      </c>
      <c r="D1" s="1" t="s">
        <v>15</v>
      </c>
      <c r="E1" s="1" t="s">
        <v>14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35">
      <c r="A2">
        <v>1775834997</v>
      </c>
      <c r="B2">
        <v>1775835000</v>
      </c>
      <c r="C2" t="s">
        <v>1</v>
      </c>
      <c r="D2" t="s">
        <v>0</v>
      </c>
      <c r="E2">
        <v>4.5502000000000001E-2</v>
      </c>
      <c r="F2">
        <v>1</v>
      </c>
      <c r="G2">
        <v>25</v>
      </c>
      <c r="H2">
        <v>2.2380952380952301</v>
      </c>
      <c r="I2">
        <v>66.638163063829694</v>
      </c>
      <c r="J2">
        <f>I2/60</f>
        <v>1.1106360510638282</v>
      </c>
      <c r="K2">
        <v>66.638163063829694</v>
      </c>
      <c r="L2">
        <f>K2/60</f>
        <v>1.1106360510638282</v>
      </c>
      <c r="M2">
        <f>J2/E2</f>
        <v>24.408510638297837</v>
      </c>
      <c r="N2">
        <f>L2/E2</f>
        <v>24.408510638297837</v>
      </c>
    </row>
    <row r="3" spans="1:14" x14ac:dyDescent="0.35">
      <c r="A3">
        <v>1775835000</v>
      </c>
      <c r="B3">
        <v>1775835003</v>
      </c>
      <c r="C3" t="s">
        <v>1</v>
      </c>
      <c r="D3" t="s">
        <v>0</v>
      </c>
      <c r="E3">
        <v>0.10245899999999999</v>
      </c>
      <c r="F3">
        <v>1</v>
      </c>
      <c r="G3">
        <v>25</v>
      </c>
      <c r="H3">
        <v>2.2380952380952301</v>
      </c>
      <c r="I3">
        <v>150.052295489361</v>
      </c>
      <c r="J3">
        <f t="shared" ref="J3:J58" si="0">I3/60</f>
        <v>2.50087159148935</v>
      </c>
      <c r="K3">
        <v>150.052295489361</v>
      </c>
      <c r="L3">
        <f t="shared" ref="L3:L58" si="1">K3/60</f>
        <v>2.50087159148935</v>
      </c>
      <c r="M3">
        <f t="shared" ref="M3:M58" si="2">J3/E3</f>
        <v>24.408510638297759</v>
      </c>
      <c r="N3">
        <f t="shared" ref="N3:N58" si="3">L3/E3</f>
        <v>24.408510638297759</v>
      </c>
    </row>
    <row r="4" spans="1:14" x14ac:dyDescent="0.35">
      <c r="A4">
        <v>1775835024</v>
      </c>
      <c r="B4">
        <v>1775835028</v>
      </c>
      <c r="C4" t="s">
        <v>1</v>
      </c>
      <c r="D4" t="s">
        <v>0</v>
      </c>
      <c r="E4">
        <v>1.9199000000000001E-2</v>
      </c>
      <c r="F4">
        <v>1</v>
      </c>
      <c r="G4">
        <v>25</v>
      </c>
      <c r="H4">
        <v>2.2380952380952301</v>
      </c>
      <c r="I4">
        <v>28.117139744680799</v>
      </c>
      <c r="J4">
        <f t="shared" si="0"/>
        <v>0.46861899574467997</v>
      </c>
      <c r="K4">
        <v>28.117139744680799</v>
      </c>
      <c r="L4">
        <f t="shared" si="1"/>
        <v>0.46861899574467997</v>
      </c>
      <c r="M4">
        <f t="shared" si="2"/>
        <v>24.408510638297827</v>
      </c>
      <c r="N4">
        <f t="shared" si="3"/>
        <v>24.408510638297827</v>
      </c>
    </row>
    <row r="5" spans="1:14" x14ac:dyDescent="0.35">
      <c r="A5">
        <v>2078949371</v>
      </c>
      <c r="B5">
        <v>1676588668</v>
      </c>
      <c r="C5" t="s">
        <v>1</v>
      </c>
      <c r="D5" t="s">
        <v>0</v>
      </c>
      <c r="E5">
        <v>5.1715999999999998E-2</v>
      </c>
      <c r="F5">
        <v>1</v>
      </c>
      <c r="G5">
        <v>25</v>
      </c>
      <c r="H5">
        <v>4</v>
      </c>
      <c r="I5">
        <v>39.097295999999901</v>
      </c>
      <c r="J5">
        <f t="shared" si="0"/>
        <v>0.65162159999999836</v>
      </c>
      <c r="K5">
        <v>39.097295999999901</v>
      </c>
      <c r="L5">
        <f t="shared" si="1"/>
        <v>0.65162159999999836</v>
      </c>
      <c r="M5">
        <f t="shared" si="2"/>
        <v>12.599999999999969</v>
      </c>
      <c r="N5">
        <f t="shared" si="3"/>
        <v>12.599999999999969</v>
      </c>
    </row>
    <row r="6" spans="1:14" x14ac:dyDescent="0.35">
      <c r="A6">
        <v>4481199453</v>
      </c>
      <c r="B6">
        <v>4248201242</v>
      </c>
      <c r="C6" t="s">
        <v>1</v>
      </c>
      <c r="D6" t="s">
        <v>0</v>
      </c>
      <c r="E6">
        <v>4.8910000000000002E-2</v>
      </c>
      <c r="F6">
        <v>1</v>
      </c>
      <c r="G6">
        <v>25</v>
      </c>
      <c r="H6">
        <v>2.2380952380952301</v>
      </c>
      <c r="I6">
        <v>71.629215319148898</v>
      </c>
      <c r="J6">
        <f t="shared" si="0"/>
        <v>1.1938202553191484</v>
      </c>
      <c r="K6">
        <v>71.629215319148898</v>
      </c>
      <c r="L6">
        <f t="shared" si="1"/>
        <v>1.1938202553191484</v>
      </c>
      <c r="M6">
        <f t="shared" si="2"/>
        <v>24.408510638297859</v>
      </c>
      <c r="N6">
        <f t="shared" si="3"/>
        <v>24.408510638297859</v>
      </c>
    </row>
    <row r="7" spans="1:14" x14ac:dyDescent="0.35">
      <c r="A7">
        <v>6537961778</v>
      </c>
      <c r="B7">
        <v>3518398365</v>
      </c>
      <c r="C7" t="s">
        <v>1</v>
      </c>
      <c r="D7" t="s">
        <v>0</v>
      </c>
      <c r="E7">
        <v>0.62166100000000002</v>
      </c>
      <c r="F7">
        <v>1</v>
      </c>
      <c r="G7">
        <v>25</v>
      </c>
      <c r="H7">
        <v>18</v>
      </c>
      <c r="I7">
        <v>34.813015999999898</v>
      </c>
      <c r="J7">
        <f t="shared" si="0"/>
        <v>0.58021693333333169</v>
      </c>
      <c r="K7">
        <v>34.813015999999898</v>
      </c>
      <c r="L7">
        <f t="shared" si="1"/>
        <v>0.58021693333333169</v>
      </c>
      <c r="M7">
        <f t="shared" si="2"/>
        <v>0.93333333333333068</v>
      </c>
      <c r="N7">
        <f t="shared" si="3"/>
        <v>0.93333333333333068</v>
      </c>
    </row>
    <row r="8" spans="1:14" x14ac:dyDescent="0.35">
      <c r="A8">
        <v>258523341</v>
      </c>
      <c r="B8">
        <v>897690838</v>
      </c>
      <c r="C8" t="s">
        <v>3</v>
      </c>
      <c r="D8" t="s">
        <v>2</v>
      </c>
      <c r="E8">
        <v>5.5807000000000002E-2</v>
      </c>
      <c r="F8">
        <v>2</v>
      </c>
      <c r="G8">
        <v>25</v>
      </c>
      <c r="H8">
        <v>5.9900793650793602</v>
      </c>
      <c r="I8">
        <v>25.503447780059599</v>
      </c>
      <c r="J8">
        <f t="shared" si="0"/>
        <v>0.42505746300099329</v>
      </c>
      <c r="K8">
        <v>51.006895560119197</v>
      </c>
      <c r="L8">
        <f t="shared" si="1"/>
        <v>0.85011492600198657</v>
      </c>
      <c r="M8">
        <f t="shared" si="2"/>
        <v>7.6165617754223174</v>
      </c>
      <c r="N8">
        <f t="shared" si="3"/>
        <v>15.233123550844635</v>
      </c>
    </row>
    <row r="9" spans="1:14" x14ac:dyDescent="0.35">
      <c r="A9">
        <v>897690838</v>
      </c>
      <c r="B9">
        <v>258523491</v>
      </c>
      <c r="C9" t="s">
        <v>3</v>
      </c>
      <c r="D9" t="s">
        <v>2</v>
      </c>
      <c r="E9">
        <v>5.6746999999999999E-2</v>
      </c>
      <c r="F9">
        <v>2</v>
      </c>
      <c r="G9">
        <v>25</v>
      </c>
      <c r="H9">
        <v>5.9900793650793602</v>
      </c>
      <c r="I9">
        <v>25.9330218641934</v>
      </c>
      <c r="J9">
        <f t="shared" si="0"/>
        <v>0.43221703106989001</v>
      </c>
      <c r="K9">
        <v>51.866043728386799</v>
      </c>
      <c r="L9">
        <f t="shared" si="1"/>
        <v>0.86443406213978002</v>
      </c>
      <c r="M9">
        <f t="shared" si="2"/>
        <v>7.6165617754223138</v>
      </c>
      <c r="N9">
        <f t="shared" si="3"/>
        <v>15.233123550844628</v>
      </c>
    </row>
    <row r="10" spans="1:14" x14ac:dyDescent="0.35">
      <c r="A10">
        <v>60013854</v>
      </c>
      <c r="B10">
        <v>1501100642</v>
      </c>
      <c r="C10" t="s">
        <v>4</v>
      </c>
      <c r="D10" t="s">
        <v>2</v>
      </c>
      <c r="E10">
        <v>5.1736999999999998E-2</v>
      </c>
      <c r="F10">
        <v>1</v>
      </c>
      <c r="G10">
        <v>25</v>
      </c>
      <c r="H10">
        <v>4</v>
      </c>
      <c r="I10">
        <v>39.113171999999999</v>
      </c>
      <c r="J10">
        <f t="shared" si="0"/>
        <v>0.65188619999999997</v>
      </c>
      <c r="K10">
        <v>39.113171999999999</v>
      </c>
      <c r="L10">
        <f t="shared" si="1"/>
        <v>0.65188619999999997</v>
      </c>
      <c r="M10">
        <f t="shared" si="2"/>
        <v>12.6</v>
      </c>
      <c r="N10">
        <f t="shared" si="3"/>
        <v>12.6</v>
      </c>
    </row>
    <row r="11" spans="1:14" x14ac:dyDescent="0.35">
      <c r="A11">
        <v>262913630</v>
      </c>
      <c r="B11">
        <v>262913633</v>
      </c>
      <c r="C11" t="s">
        <v>4</v>
      </c>
      <c r="D11" t="s">
        <v>2</v>
      </c>
      <c r="E11">
        <v>9.3354999999999994E-2</v>
      </c>
      <c r="F11">
        <v>1</v>
      </c>
      <c r="G11">
        <v>25</v>
      </c>
      <c r="H11">
        <v>7</v>
      </c>
      <c r="I11">
        <v>34.5680228571428</v>
      </c>
      <c r="J11">
        <f t="shared" si="0"/>
        <v>0.57613371428571336</v>
      </c>
      <c r="K11">
        <v>34.5680228571428</v>
      </c>
      <c r="L11">
        <f t="shared" si="1"/>
        <v>0.57613371428571336</v>
      </c>
      <c r="M11">
        <f t="shared" si="2"/>
        <v>6.1714285714285619</v>
      </c>
      <c r="N11">
        <f t="shared" si="3"/>
        <v>6.1714285714285619</v>
      </c>
    </row>
    <row r="12" spans="1:14" x14ac:dyDescent="0.35">
      <c r="A12">
        <v>1504802371</v>
      </c>
      <c r="B12">
        <v>1505121517</v>
      </c>
      <c r="C12" t="s">
        <v>4</v>
      </c>
      <c r="D12" t="s">
        <v>2</v>
      </c>
      <c r="E12">
        <v>3.6866999999999997E-2</v>
      </c>
      <c r="F12">
        <v>3</v>
      </c>
      <c r="G12">
        <v>25</v>
      </c>
      <c r="H12">
        <v>2.4042658730158699</v>
      </c>
      <c r="I12">
        <v>49.893532689086001</v>
      </c>
      <c r="J12">
        <f t="shared" si="0"/>
        <v>0.83155887815143337</v>
      </c>
      <c r="K12">
        <v>149.68059806725799</v>
      </c>
      <c r="L12">
        <f t="shared" si="1"/>
        <v>2.4946766344542999</v>
      </c>
      <c r="M12">
        <f t="shared" si="2"/>
        <v>22.555642665566317</v>
      </c>
      <c r="N12">
        <f t="shared" si="3"/>
        <v>67.666927996698945</v>
      </c>
    </row>
    <row r="13" spans="1:14" x14ac:dyDescent="0.35">
      <c r="A13">
        <v>2827497960</v>
      </c>
      <c r="B13">
        <v>1952715088</v>
      </c>
      <c r="C13" t="s">
        <v>4</v>
      </c>
      <c r="D13" t="s">
        <v>2</v>
      </c>
      <c r="E13">
        <v>1.2411E-2</v>
      </c>
      <c r="F13">
        <v>1</v>
      </c>
      <c r="G13">
        <v>25</v>
      </c>
      <c r="H13">
        <v>2.0272817460317398</v>
      </c>
      <c r="I13">
        <v>20.251982528015599</v>
      </c>
      <c r="J13">
        <f t="shared" si="0"/>
        <v>0.33753304213359331</v>
      </c>
      <c r="K13">
        <v>20.251982528015599</v>
      </c>
      <c r="L13">
        <f t="shared" si="1"/>
        <v>0.33753304213359331</v>
      </c>
      <c r="M13">
        <f t="shared" si="2"/>
        <v>27.196280890628742</v>
      </c>
      <c r="N13">
        <f t="shared" si="3"/>
        <v>27.196280890628742</v>
      </c>
    </row>
    <row r="14" spans="1:14" x14ac:dyDescent="0.35">
      <c r="A14">
        <v>3775982866</v>
      </c>
      <c r="B14">
        <v>5436872162</v>
      </c>
      <c r="C14" t="s">
        <v>4</v>
      </c>
      <c r="D14" t="s">
        <v>2</v>
      </c>
      <c r="E14">
        <v>4.1958000000000002E-2</v>
      </c>
      <c r="F14">
        <v>7</v>
      </c>
      <c r="G14">
        <v>25</v>
      </c>
      <c r="H14">
        <v>2</v>
      </c>
      <c r="I14">
        <v>69.482448000000005</v>
      </c>
      <c r="J14">
        <f t="shared" si="0"/>
        <v>1.1580408</v>
      </c>
      <c r="K14">
        <v>486.37713600000001</v>
      </c>
      <c r="L14">
        <f t="shared" si="1"/>
        <v>8.1062855999999996</v>
      </c>
      <c r="M14">
        <f t="shared" si="2"/>
        <v>27.599999999999998</v>
      </c>
      <c r="N14">
        <f t="shared" si="3"/>
        <v>193.2</v>
      </c>
    </row>
    <row r="15" spans="1:14" x14ac:dyDescent="0.35">
      <c r="A15">
        <v>4009220169</v>
      </c>
      <c r="B15">
        <v>1506164725</v>
      </c>
      <c r="C15" t="s">
        <v>4</v>
      </c>
      <c r="D15" t="s">
        <v>2</v>
      </c>
      <c r="E15">
        <v>6.5398999999999999E-2</v>
      </c>
      <c r="F15">
        <v>1</v>
      </c>
      <c r="G15">
        <v>25</v>
      </c>
      <c r="H15">
        <v>5.1041666666666599</v>
      </c>
      <c r="I15">
        <v>36.708859102040797</v>
      </c>
      <c r="J15">
        <f t="shared" si="0"/>
        <v>0.61181431836734668</v>
      </c>
      <c r="K15">
        <v>36.708859102040797</v>
      </c>
      <c r="L15">
        <f t="shared" si="1"/>
        <v>0.61181431836734668</v>
      </c>
      <c r="M15">
        <f t="shared" si="2"/>
        <v>9.3551020408163232</v>
      </c>
      <c r="N15">
        <f t="shared" si="3"/>
        <v>9.3551020408163232</v>
      </c>
    </row>
    <row r="16" spans="1:14" x14ac:dyDescent="0.35">
      <c r="A16">
        <v>5436872162</v>
      </c>
      <c r="B16">
        <v>3775982865</v>
      </c>
      <c r="C16" t="s">
        <v>4</v>
      </c>
      <c r="D16" t="s">
        <v>2</v>
      </c>
      <c r="E16">
        <v>2.4562E-2</v>
      </c>
      <c r="F16">
        <v>7</v>
      </c>
      <c r="G16">
        <v>25</v>
      </c>
      <c r="H16">
        <v>2</v>
      </c>
      <c r="I16">
        <v>40.674672000000001</v>
      </c>
      <c r="J16">
        <f t="shared" si="0"/>
        <v>0.67791120000000005</v>
      </c>
      <c r="K16">
        <v>284.72270400000002</v>
      </c>
      <c r="L16">
        <f t="shared" si="1"/>
        <v>4.7453784000000008</v>
      </c>
      <c r="M16">
        <f t="shared" si="2"/>
        <v>27.6</v>
      </c>
      <c r="N16">
        <f t="shared" si="3"/>
        <v>193.20000000000002</v>
      </c>
    </row>
    <row r="17" spans="1:14" x14ac:dyDescent="0.35">
      <c r="A17">
        <v>258029195</v>
      </c>
      <c r="B17">
        <v>4096482224</v>
      </c>
      <c r="C17" t="s">
        <v>6</v>
      </c>
      <c r="D17" t="s">
        <v>5</v>
      </c>
      <c r="E17">
        <v>4.7264E-2</v>
      </c>
      <c r="F17">
        <v>2</v>
      </c>
      <c r="G17">
        <v>34</v>
      </c>
      <c r="H17">
        <v>6</v>
      </c>
      <c r="I17">
        <v>23.353976470588201</v>
      </c>
      <c r="J17">
        <f t="shared" si="0"/>
        <v>0.38923294117647</v>
      </c>
      <c r="K17">
        <v>46.707952941176401</v>
      </c>
      <c r="L17">
        <f t="shared" si="1"/>
        <v>0.77846588235294001</v>
      </c>
      <c r="M17">
        <f t="shared" si="2"/>
        <v>8.2352941176470456</v>
      </c>
      <c r="N17">
        <f t="shared" si="3"/>
        <v>16.470588235294091</v>
      </c>
    </row>
    <row r="18" spans="1:14" x14ac:dyDescent="0.35">
      <c r="A18">
        <v>1743126504</v>
      </c>
      <c r="B18">
        <v>1743126554</v>
      </c>
      <c r="C18" t="s">
        <v>6</v>
      </c>
      <c r="D18" t="s">
        <v>0</v>
      </c>
      <c r="E18">
        <v>3.8668000000000001E-2</v>
      </c>
      <c r="F18">
        <v>1</v>
      </c>
      <c r="G18">
        <v>25</v>
      </c>
      <c r="H18">
        <v>3</v>
      </c>
      <c r="I18">
        <v>40.833407999999899</v>
      </c>
      <c r="J18">
        <f t="shared" si="0"/>
        <v>0.6805567999999983</v>
      </c>
      <c r="K18">
        <v>40.833407999999899</v>
      </c>
      <c r="L18">
        <f t="shared" si="1"/>
        <v>0.6805567999999983</v>
      </c>
      <c r="M18">
        <f t="shared" si="2"/>
        <v>17.599999999999955</v>
      </c>
      <c r="N18">
        <f t="shared" si="3"/>
        <v>17.599999999999955</v>
      </c>
    </row>
    <row r="19" spans="1:14" x14ac:dyDescent="0.35">
      <c r="A19">
        <v>1743126532</v>
      </c>
      <c r="B19">
        <v>1743126504</v>
      </c>
      <c r="C19" t="s">
        <v>6</v>
      </c>
      <c r="D19" t="s">
        <v>0</v>
      </c>
      <c r="E19">
        <v>2.3317000000000001E-2</v>
      </c>
      <c r="F19">
        <v>1</v>
      </c>
      <c r="G19">
        <v>25</v>
      </c>
      <c r="H19">
        <v>3</v>
      </c>
      <c r="I19">
        <v>24.622751999999899</v>
      </c>
      <c r="J19">
        <f t="shared" si="0"/>
        <v>0.41037919999999833</v>
      </c>
      <c r="K19">
        <v>24.622751999999899</v>
      </c>
      <c r="L19">
        <f t="shared" si="1"/>
        <v>0.41037919999999833</v>
      </c>
      <c r="M19">
        <f t="shared" si="2"/>
        <v>17.599999999999927</v>
      </c>
      <c r="N19">
        <f t="shared" si="3"/>
        <v>17.599999999999927</v>
      </c>
    </row>
    <row r="20" spans="1:14" x14ac:dyDescent="0.35">
      <c r="A20">
        <v>1743126723</v>
      </c>
      <c r="B20">
        <v>1743126625</v>
      </c>
      <c r="C20" t="s">
        <v>6</v>
      </c>
      <c r="D20" t="s">
        <v>0</v>
      </c>
      <c r="E20">
        <v>2.2846999999999999E-2</v>
      </c>
      <c r="F20">
        <v>1</v>
      </c>
      <c r="G20">
        <v>25</v>
      </c>
      <c r="H20">
        <v>3</v>
      </c>
      <c r="I20">
        <v>24.126431999999902</v>
      </c>
      <c r="J20">
        <f t="shared" si="0"/>
        <v>0.40210719999999839</v>
      </c>
      <c r="K20">
        <v>24.126431999999902</v>
      </c>
      <c r="L20">
        <f t="shared" si="1"/>
        <v>0.40210719999999839</v>
      </c>
      <c r="M20">
        <f t="shared" si="2"/>
        <v>17.59999999999993</v>
      </c>
      <c r="N20">
        <f t="shared" si="3"/>
        <v>17.59999999999993</v>
      </c>
    </row>
    <row r="21" spans="1:14" x14ac:dyDescent="0.35">
      <c r="A21">
        <v>2388259126</v>
      </c>
      <c r="B21">
        <v>257926757</v>
      </c>
      <c r="C21" t="s">
        <v>6</v>
      </c>
      <c r="D21" t="s">
        <v>5</v>
      </c>
      <c r="E21">
        <v>4.3111999999999998E-2</v>
      </c>
      <c r="F21">
        <v>1</v>
      </c>
      <c r="G21">
        <v>34</v>
      </c>
      <c r="H21">
        <v>6</v>
      </c>
      <c r="I21">
        <v>21.302399999999999</v>
      </c>
      <c r="J21">
        <f t="shared" si="0"/>
        <v>0.35503999999999997</v>
      </c>
      <c r="K21">
        <v>21.302399999999999</v>
      </c>
      <c r="L21">
        <f t="shared" si="1"/>
        <v>0.35503999999999997</v>
      </c>
      <c r="M21">
        <f t="shared" si="2"/>
        <v>8.235294117647058</v>
      </c>
      <c r="N21">
        <f t="shared" si="3"/>
        <v>8.235294117647058</v>
      </c>
    </row>
    <row r="22" spans="1:14" x14ac:dyDescent="0.35">
      <c r="A22">
        <v>2388259146</v>
      </c>
      <c r="B22">
        <v>2388259133</v>
      </c>
      <c r="C22" t="s">
        <v>6</v>
      </c>
      <c r="D22" t="s">
        <v>5</v>
      </c>
      <c r="E22">
        <v>5.0333000000000003E-2</v>
      </c>
      <c r="F22">
        <v>1</v>
      </c>
      <c r="G22">
        <v>34</v>
      </c>
      <c r="H22">
        <v>6</v>
      </c>
      <c r="I22">
        <v>24.870423529411699</v>
      </c>
      <c r="J22">
        <f t="shared" si="0"/>
        <v>0.41450705882352834</v>
      </c>
      <c r="K22">
        <v>24.870423529411699</v>
      </c>
      <c r="L22">
        <f t="shared" si="1"/>
        <v>0.41450705882352834</v>
      </c>
      <c r="M22">
        <f t="shared" si="2"/>
        <v>8.2352941176470367</v>
      </c>
      <c r="N22">
        <f t="shared" si="3"/>
        <v>8.2352941176470367</v>
      </c>
    </row>
    <row r="23" spans="1:14" x14ac:dyDescent="0.35">
      <c r="A23">
        <v>3021911953</v>
      </c>
      <c r="B23">
        <v>5507650225</v>
      </c>
      <c r="C23" t="s">
        <v>6</v>
      </c>
      <c r="D23" t="s">
        <v>0</v>
      </c>
      <c r="E23">
        <v>2.5860999999999999E-2</v>
      </c>
      <c r="F23">
        <v>1</v>
      </c>
      <c r="G23">
        <v>25</v>
      </c>
      <c r="H23">
        <v>3</v>
      </c>
      <c r="I23">
        <v>27.3092159999999</v>
      </c>
      <c r="J23">
        <f t="shared" si="0"/>
        <v>0.45515359999999833</v>
      </c>
      <c r="K23">
        <v>27.3092159999999</v>
      </c>
      <c r="L23">
        <f t="shared" si="1"/>
        <v>0.45515359999999833</v>
      </c>
      <c r="M23">
        <f t="shared" si="2"/>
        <v>17.599999999999937</v>
      </c>
      <c r="N23">
        <f t="shared" si="3"/>
        <v>17.599999999999937</v>
      </c>
    </row>
    <row r="24" spans="1:14" x14ac:dyDescent="0.35">
      <c r="A24">
        <v>5507705473</v>
      </c>
      <c r="B24">
        <v>5504295192</v>
      </c>
      <c r="C24" t="s">
        <v>6</v>
      </c>
      <c r="D24" t="s">
        <v>2</v>
      </c>
      <c r="E24">
        <v>8.0459999999999993E-3</v>
      </c>
      <c r="F24">
        <v>1</v>
      </c>
      <c r="G24">
        <v>25</v>
      </c>
      <c r="H24">
        <v>1</v>
      </c>
      <c r="I24">
        <v>27.806975999999899</v>
      </c>
      <c r="J24">
        <f t="shared" si="0"/>
        <v>0.4634495999999983</v>
      </c>
      <c r="K24">
        <v>27.806975999999899</v>
      </c>
      <c r="L24">
        <f t="shared" si="1"/>
        <v>0.4634495999999983</v>
      </c>
      <c r="M24">
        <f t="shared" si="2"/>
        <v>57.599999999999795</v>
      </c>
      <c r="N24">
        <f t="shared" si="3"/>
        <v>57.599999999999795</v>
      </c>
    </row>
    <row r="25" spans="1:14" x14ac:dyDescent="0.35">
      <c r="A25">
        <v>567004296</v>
      </c>
      <c r="B25">
        <v>5317599048</v>
      </c>
      <c r="C25" t="s">
        <v>7</v>
      </c>
      <c r="D25" t="s">
        <v>0</v>
      </c>
      <c r="E25">
        <v>6.9646E-2</v>
      </c>
      <c r="F25">
        <v>2</v>
      </c>
      <c r="G25">
        <v>25</v>
      </c>
      <c r="H25">
        <v>8</v>
      </c>
      <c r="I25">
        <v>21.311675999999899</v>
      </c>
      <c r="J25">
        <f t="shared" si="0"/>
        <v>0.35519459999999831</v>
      </c>
      <c r="K25">
        <v>42.623351999999898</v>
      </c>
      <c r="L25">
        <f t="shared" si="1"/>
        <v>0.71038919999999828</v>
      </c>
      <c r="M25">
        <f t="shared" si="2"/>
        <v>5.0999999999999757</v>
      </c>
      <c r="N25">
        <f t="shared" si="3"/>
        <v>10.199999999999976</v>
      </c>
    </row>
    <row r="26" spans="1:14" x14ac:dyDescent="0.35">
      <c r="A26">
        <v>198487022</v>
      </c>
      <c r="B26">
        <v>4883881042</v>
      </c>
      <c r="C26" t="s">
        <v>8</v>
      </c>
      <c r="D26" t="s">
        <v>5</v>
      </c>
      <c r="E26">
        <v>3.4598999999999998E-2</v>
      </c>
      <c r="F26">
        <v>1</v>
      </c>
      <c r="G26">
        <v>34</v>
      </c>
      <c r="H26">
        <v>5</v>
      </c>
      <c r="I26">
        <v>21.2478564705882</v>
      </c>
      <c r="J26">
        <f t="shared" si="0"/>
        <v>0.35413094117646998</v>
      </c>
      <c r="K26">
        <v>21.2478564705882</v>
      </c>
      <c r="L26">
        <f t="shared" si="1"/>
        <v>0.35413094117646998</v>
      </c>
      <c r="M26">
        <f t="shared" si="2"/>
        <v>10.235294117647042</v>
      </c>
      <c r="N26">
        <f t="shared" si="3"/>
        <v>10.235294117647042</v>
      </c>
    </row>
    <row r="27" spans="1:14" x14ac:dyDescent="0.35">
      <c r="A27">
        <v>2085208062</v>
      </c>
      <c r="B27">
        <v>2085208064</v>
      </c>
      <c r="C27" t="s">
        <v>8</v>
      </c>
      <c r="D27" t="s">
        <v>5</v>
      </c>
      <c r="E27">
        <v>4.3711E-2</v>
      </c>
      <c r="F27">
        <v>1</v>
      </c>
      <c r="G27">
        <v>34</v>
      </c>
      <c r="H27">
        <v>3.3273809523809499</v>
      </c>
      <c r="I27">
        <v>42.664107060928103</v>
      </c>
      <c r="J27">
        <f t="shared" si="0"/>
        <v>0.71106845101546834</v>
      </c>
      <c r="K27">
        <v>42.664107060928103</v>
      </c>
      <c r="L27">
        <f t="shared" si="1"/>
        <v>0.71106845101546834</v>
      </c>
      <c r="M27">
        <f t="shared" si="2"/>
        <v>16.267494475428801</v>
      </c>
      <c r="N27">
        <f t="shared" si="3"/>
        <v>16.267494475428801</v>
      </c>
    </row>
    <row r="28" spans="1:14" x14ac:dyDescent="0.35">
      <c r="A28">
        <v>2085208064</v>
      </c>
      <c r="B28">
        <v>2085208065</v>
      </c>
      <c r="C28" t="s">
        <v>8</v>
      </c>
      <c r="D28" t="s">
        <v>5</v>
      </c>
      <c r="E28">
        <v>3.1759999999999997E-2</v>
      </c>
      <c r="F28">
        <v>1</v>
      </c>
      <c r="G28">
        <v>34</v>
      </c>
      <c r="H28">
        <v>3.3273809523809499</v>
      </c>
      <c r="I28">
        <v>30.9993374723771</v>
      </c>
      <c r="J28">
        <f t="shared" si="0"/>
        <v>0.51665562453961833</v>
      </c>
      <c r="K28">
        <v>30.9993374723771</v>
      </c>
      <c r="L28">
        <f t="shared" si="1"/>
        <v>0.51665562453961833</v>
      </c>
      <c r="M28">
        <f t="shared" si="2"/>
        <v>16.267494475428791</v>
      </c>
      <c r="N28">
        <f t="shared" si="3"/>
        <v>16.267494475428791</v>
      </c>
    </row>
    <row r="29" spans="1:14" x14ac:dyDescent="0.35">
      <c r="A29">
        <v>2085208065</v>
      </c>
      <c r="B29">
        <v>2085208068</v>
      </c>
      <c r="C29" t="s">
        <v>8</v>
      </c>
      <c r="D29" t="s">
        <v>5</v>
      </c>
      <c r="E29">
        <v>3.3734E-2</v>
      </c>
      <c r="F29">
        <v>1</v>
      </c>
      <c r="G29">
        <v>34</v>
      </c>
      <c r="H29">
        <v>3.3273809523809499</v>
      </c>
      <c r="I29">
        <v>32.926059518046898</v>
      </c>
      <c r="J29">
        <f t="shared" si="0"/>
        <v>0.54876765863411492</v>
      </c>
      <c r="K29">
        <v>32.926059518046898</v>
      </c>
      <c r="L29">
        <f t="shared" si="1"/>
        <v>0.54876765863411492</v>
      </c>
      <c r="M29">
        <f t="shared" si="2"/>
        <v>16.267494475428794</v>
      </c>
      <c r="N29">
        <f t="shared" si="3"/>
        <v>16.267494475428794</v>
      </c>
    </row>
    <row r="30" spans="1:14" x14ac:dyDescent="0.35">
      <c r="A30">
        <v>2085208068</v>
      </c>
      <c r="B30">
        <v>2085208070</v>
      </c>
      <c r="C30" t="s">
        <v>8</v>
      </c>
      <c r="D30" t="s">
        <v>5</v>
      </c>
      <c r="E30">
        <v>2.1571E-2</v>
      </c>
      <c r="F30">
        <v>1</v>
      </c>
      <c r="G30">
        <v>34</v>
      </c>
      <c r="H30">
        <v>3.3273809523809499</v>
      </c>
      <c r="I30">
        <v>21.054367399768399</v>
      </c>
      <c r="J30">
        <f t="shared" si="0"/>
        <v>0.3509061233294733</v>
      </c>
      <c r="K30">
        <v>21.054367399768399</v>
      </c>
      <c r="L30">
        <f t="shared" si="1"/>
        <v>0.3509061233294733</v>
      </c>
      <c r="M30">
        <f t="shared" si="2"/>
        <v>16.267494475428737</v>
      </c>
      <c r="N30">
        <f t="shared" si="3"/>
        <v>16.267494475428737</v>
      </c>
    </row>
    <row r="31" spans="1:14" x14ac:dyDescent="0.35">
      <c r="A31">
        <v>2085208071</v>
      </c>
      <c r="B31">
        <v>2085208074</v>
      </c>
      <c r="C31" t="s">
        <v>8</v>
      </c>
      <c r="D31" t="s">
        <v>5</v>
      </c>
      <c r="E31">
        <v>3.0391000000000001E-2</v>
      </c>
      <c r="F31">
        <v>1</v>
      </c>
      <c r="G31">
        <v>34</v>
      </c>
      <c r="H31">
        <v>3.3273809523809499</v>
      </c>
      <c r="I31">
        <v>29.663125476165401</v>
      </c>
      <c r="J31">
        <f t="shared" si="0"/>
        <v>0.4943854246027567</v>
      </c>
      <c r="K31">
        <v>29.663125476165401</v>
      </c>
      <c r="L31">
        <f t="shared" si="1"/>
        <v>0.4943854246027567</v>
      </c>
      <c r="M31">
        <f t="shared" si="2"/>
        <v>16.267494475428801</v>
      </c>
      <c r="N31">
        <f t="shared" si="3"/>
        <v>16.267494475428801</v>
      </c>
    </row>
    <row r="32" spans="1:14" x14ac:dyDescent="0.35">
      <c r="A32">
        <v>2085208072</v>
      </c>
      <c r="B32">
        <v>2085208071</v>
      </c>
      <c r="C32" t="s">
        <v>8</v>
      </c>
      <c r="D32" t="s">
        <v>5</v>
      </c>
      <c r="E32">
        <v>3.4379E-2</v>
      </c>
      <c r="F32">
        <v>1</v>
      </c>
      <c r="G32">
        <v>34</v>
      </c>
      <c r="H32">
        <v>3.3273809523809499</v>
      </c>
      <c r="I32">
        <v>33.555611554245999</v>
      </c>
      <c r="J32">
        <f t="shared" si="0"/>
        <v>0.55926019257076665</v>
      </c>
      <c r="K32">
        <v>33.555611554245999</v>
      </c>
      <c r="L32">
        <f t="shared" si="1"/>
        <v>0.55926019257076665</v>
      </c>
      <c r="M32">
        <f t="shared" si="2"/>
        <v>16.267494475428798</v>
      </c>
      <c r="N32">
        <f t="shared" si="3"/>
        <v>16.267494475428798</v>
      </c>
    </row>
    <row r="33" spans="1:14" x14ac:dyDescent="0.35">
      <c r="A33">
        <v>2085208074</v>
      </c>
      <c r="B33">
        <v>2085208080</v>
      </c>
      <c r="C33" t="s">
        <v>8</v>
      </c>
      <c r="D33" t="s">
        <v>5</v>
      </c>
      <c r="E33">
        <v>2.9557E-2</v>
      </c>
      <c r="F33">
        <v>1</v>
      </c>
      <c r="G33">
        <v>34</v>
      </c>
      <c r="H33">
        <v>3.3273809523809499</v>
      </c>
      <c r="I33">
        <v>28.849100052614901</v>
      </c>
      <c r="J33">
        <f t="shared" si="0"/>
        <v>0.48081833421024833</v>
      </c>
      <c r="K33">
        <v>28.849100052614901</v>
      </c>
      <c r="L33">
        <f t="shared" si="1"/>
        <v>0.48081833421024833</v>
      </c>
      <c r="M33">
        <f t="shared" si="2"/>
        <v>16.267494475428776</v>
      </c>
      <c r="N33">
        <f t="shared" si="3"/>
        <v>16.267494475428776</v>
      </c>
    </row>
    <row r="34" spans="1:14" x14ac:dyDescent="0.35">
      <c r="A34">
        <v>2085208075</v>
      </c>
      <c r="B34">
        <v>2085208072</v>
      </c>
      <c r="C34" t="s">
        <v>8</v>
      </c>
      <c r="D34" t="s">
        <v>5</v>
      </c>
      <c r="E34">
        <v>2.3165999999999999E-2</v>
      </c>
      <c r="F34">
        <v>1</v>
      </c>
      <c r="G34">
        <v>34</v>
      </c>
      <c r="H34">
        <v>3.3273809523809499</v>
      </c>
      <c r="I34">
        <v>22.611166621066999</v>
      </c>
      <c r="J34">
        <f t="shared" si="0"/>
        <v>0.3768527770177833</v>
      </c>
      <c r="K34">
        <v>22.611166621066999</v>
      </c>
      <c r="L34">
        <f t="shared" si="1"/>
        <v>0.3768527770177833</v>
      </c>
      <c r="M34">
        <f t="shared" si="2"/>
        <v>16.267494475428787</v>
      </c>
      <c r="N34">
        <f t="shared" si="3"/>
        <v>16.267494475428787</v>
      </c>
    </row>
    <row r="35" spans="1:14" x14ac:dyDescent="0.35">
      <c r="A35">
        <v>2085208080</v>
      </c>
      <c r="B35">
        <v>2085208083</v>
      </c>
      <c r="C35" t="s">
        <v>8</v>
      </c>
      <c r="D35" t="s">
        <v>5</v>
      </c>
      <c r="E35">
        <v>3.4153999999999997E-2</v>
      </c>
      <c r="F35">
        <v>1</v>
      </c>
      <c r="G35">
        <v>34</v>
      </c>
      <c r="H35">
        <v>3.3273809523809499</v>
      </c>
      <c r="I35">
        <v>33.336000378827698</v>
      </c>
      <c r="J35">
        <f t="shared" si="0"/>
        <v>0.55560000631379503</v>
      </c>
      <c r="K35">
        <v>33.336000378827698</v>
      </c>
      <c r="L35">
        <f t="shared" si="1"/>
        <v>0.55560000631379503</v>
      </c>
      <c r="M35">
        <f t="shared" si="2"/>
        <v>16.267494475428794</v>
      </c>
      <c r="N35">
        <f t="shared" si="3"/>
        <v>16.267494475428794</v>
      </c>
    </row>
    <row r="36" spans="1:14" x14ac:dyDescent="0.35">
      <c r="A36">
        <v>2085208083</v>
      </c>
      <c r="B36">
        <v>2085208086</v>
      </c>
      <c r="C36" t="s">
        <v>8</v>
      </c>
      <c r="D36" t="s">
        <v>5</v>
      </c>
      <c r="E36">
        <v>3.4613999999999999E-2</v>
      </c>
      <c r="F36">
        <v>1</v>
      </c>
      <c r="G36">
        <v>34</v>
      </c>
      <c r="H36">
        <v>3.3273809523809499</v>
      </c>
      <c r="I36">
        <v>33.784983226349503</v>
      </c>
      <c r="J36">
        <f t="shared" si="0"/>
        <v>0.56308305377249168</v>
      </c>
      <c r="K36">
        <v>33.784983226349503</v>
      </c>
      <c r="L36">
        <f t="shared" si="1"/>
        <v>0.56308305377249168</v>
      </c>
      <c r="M36">
        <f t="shared" si="2"/>
        <v>16.267494475428776</v>
      </c>
      <c r="N36">
        <f t="shared" si="3"/>
        <v>16.267494475428776</v>
      </c>
    </row>
    <row r="37" spans="1:14" x14ac:dyDescent="0.35">
      <c r="A37">
        <v>2085208089</v>
      </c>
      <c r="B37">
        <v>2085208091</v>
      </c>
      <c r="C37" t="s">
        <v>8</v>
      </c>
      <c r="D37" t="s">
        <v>5</v>
      </c>
      <c r="E37">
        <v>2.5536E-2</v>
      </c>
      <c r="F37">
        <v>1</v>
      </c>
      <c r="G37">
        <v>34</v>
      </c>
      <c r="H37">
        <v>3.3273809523809499</v>
      </c>
      <c r="I37">
        <v>24.924404335473</v>
      </c>
      <c r="J37">
        <f t="shared" si="0"/>
        <v>0.41540673892454999</v>
      </c>
      <c r="K37">
        <v>24.924404335473</v>
      </c>
      <c r="L37">
        <f t="shared" si="1"/>
        <v>0.41540673892454999</v>
      </c>
      <c r="M37">
        <f t="shared" si="2"/>
        <v>16.267494475428805</v>
      </c>
      <c r="N37">
        <f t="shared" si="3"/>
        <v>16.267494475428805</v>
      </c>
    </row>
    <row r="38" spans="1:14" x14ac:dyDescent="0.35">
      <c r="A38">
        <v>2085208091</v>
      </c>
      <c r="B38">
        <v>2085208092</v>
      </c>
      <c r="C38" t="s">
        <v>8</v>
      </c>
      <c r="D38" t="s">
        <v>5</v>
      </c>
      <c r="E38">
        <v>5.1277000000000003E-2</v>
      </c>
      <c r="F38">
        <v>1</v>
      </c>
      <c r="G38">
        <v>34</v>
      </c>
      <c r="H38">
        <v>3.3273809523809499</v>
      </c>
      <c r="I38">
        <v>50.048898852993702</v>
      </c>
      <c r="J38">
        <f t="shared" si="0"/>
        <v>0.83414831421656166</v>
      </c>
      <c r="K38">
        <v>50.048898852993702</v>
      </c>
      <c r="L38">
        <f t="shared" si="1"/>
        <v>0.83414831421656166</v>
      </c>
      <c r="M38">
        <f t="shared" si="2"/>
        <v>16.26749447542878</v>
      </c>
      <c r="N38">
        <f t="shared" si="3"/>
        <v>16.26749447542878</v>
      </c>
    </row>
    <row r="39" spans="1:14" x14ac:dyDescent="0.35">
      <c r="A39">
        <v>2085208092</v>
      </c>
      <c r="B39">
        <v>2085208093</v>
      </c>
      <c r="C39" t="s">
        <v>8</v>
      </c>
      <c r="D39" t="s">
        <v>5</v>
      </c>
      <c r="E39">
        <v>2.3702000000000001E-2</v>
      </c>
      <c r="F39">
        <v>1</v>
      </c>
      <c r="G39">
        <v>34</v>
      </c>
      <c r="H39">
        <v>3.3273809523809499</v>
      </c>
      <c r="I39">
        <v>23.134329243396799</v>
      </c>
      <c r="J39">
        <f t="shared" si="0"/>
        <v>0.38557215405661333</v>
      </c>
      <c r="K39">
        <v>23.134329243396799</v>
      </c>
      <c r="L39">
        <f t="shared" si="1"/>
        <v>0.38557215405661333</v>
      </c>
      <c r="M39">
        <f t="shared" si="2"/>
        <v>16.267494475428794</v>
      </c>
      <c r="N39">
        <f t="shared" si="3"/>
        <v>16.267494475428794</v>
      </c>
    </row>
    <row r="40" spans="1:14" x14ac:dyDescent="0.35">
      <c r="A40">
        <v>2085208093</v>
      </c>
      <c r="B40">
        <v>2085208096</v>
      </c>
      <c r="C40" t="s">
        <v>8</v>
      </c>
      <c r="D40" t="s">
        <v>5</v>
      </c>
      <c r="E40">
        <v>3.0549E-2</v>
      </c>
      <c r="F40">
        <v>1</v>
      </c>
      <c r="G40">
        <v>34</v>
      </c>
      <c r="H40">
        <v>3.3273809523809499</v>
      </c>
      <c r="I40">
        <v>29.817341323792402</v>
      </c>
      <c r="J40">
        <f t="shared" si="0"/>
        <v>0.49695568872987333</v>
      </c>
      <c r="K40">
        <v>29.817341323792402</v>
      </c>
      <c r="L40">
        <f t="shared" si="1"/>
        <v>0.49695568872987333</v>
      </c>
      <c r="M40">
        <f t="shared" si="2"/>
        <v>16.267494475428766</v>
      </c>
      <c r="N40">
        <f t="shared" si="3"/>
        <v>16.267494475428766</v>
      </c>
    </row>
    <row r="41" spans="1:14" x14ac:dyDescent="0.35">
      <c r="A41">
        <v>2085208096</v>
      </c>
      <c r="B41">
        <v>2085208099</v>
      </c>
      <c r="C41" t="s">
        <v>8</v>
      </c>
      <c r="D41" t="s">
        <v>5</v>
      </c>
      <c r="E41">
        <v>3.6579E-2</v>
      </c>
      <c r="F41">
        <v>1</v>
      </c>
      <c r="G41">
        <v>34</v>
      </c>
      <c r="H41">
        <v>3.3273809523809499</v>
      </c>
      <c r="I41">
        <v>35.7029208250026</v>
      </c>
      <c r="J41">
        <f t="shared" si="0"/>
        <v>0.59504868041671</v>
      </c>
      <c r="K41">
        <v>35.7029208250026</v>
      </c>
      <c r="L41">
        <f t="shared" si="1"/>
        <v>0.59504868041671</v>
      </c>
      <c r="M41">
        <f t="shared" si="2"/>
        <v>16.267494475428798</v>
      </c>
      <c r="N41">
        <f t="shared" si="3"/>
        <v>16.267494475428798</v>
      </c>
    </row>
    <row r="42" spans="1:14" x14ac:dyDescent="0.35">
      <c r="A42">
        <v>2085208099</v>
      </c>
      <c r="B42">
        <v>2085208106</v>
      </c>
      <c r="C42" t="s">
        <v>8</v>
      </c>
      <c r="D42" t="s">
        <v>5</v>
      </c>
      <c r="E42">
        <v>9.1408000000000003E-2</v>
      </c>
      <c r="F42">
        <v>1</v>
      </c>
      <c r="G42">
        <v>34</v>
      </c>
      <c r="H42">
        <v>3.3273809523809499</v>
      </c>
      <c r="I42">
        <v>89.218748100599797</v>
      </c>
      <c r="J42">
        <f t="shared" si="0"/>
        <v>1.4869791350099966</v>
      </c>
      <c r="K42">
        <v>89.218748100599797</v>
      </c>
      <c r="L42">
        <f t="shared" si="1"/>
        <v>1.4869791350099966</v>
      </c>
      <c r="M42">
        <f t="shared" si="2"/>
        <v>16.267494475428808</v>
      </c>
      <c r="N42">
        <f t="shared" si="3"/>
        <v>16.267494475428808</v>
      </c>
    </row>
    <row r="43" spans="1:14" x14ac:dyDescent="0.35">
      <c r="A43">
        <v>2085208106</v>
      </c>
      <c r="B43">
        <v>2085208111</v>
      </c>
      <c r="C43" t="s">
        <v>8</v>
      </c>
      <c r="D43" t="s">
        <v>5</v>
      </c>
      <c r="E43">
        <v>7.4291999999999997E-2</v>
      </c>
      <c r="F43">
        <v>1</v>
      </c>
      <c r="G43">
        <v>34</v>
      </c>
      <c r="H43">
        <v>3.3273809523809499</v>
      </c>
      <c r="I43">
        <v>72.512681974113406</v>
      </c>
      <c r="J43">
        <f t="shared" si="0"/>
        <v>1.2085446995685567</v>
      </c>
      <c r="K43">
        <v>72.512681974113406</v>
      </c>
      <c r="L43">
        <f t="shared" si="1"/>
        <v>1.2085446995685567</v>
      </c>
      <c r="M43">
        <f t="shared" si="2"/>
        <v>16.267494475428805</v>
      </c>
      <c r="N43">
        <f t="shared" si="3"/>
        <v>16.267494475428805</v>
      </c>
    </row>
    <row r="44" spans="1:14" x14ac:dyDescent="0.35">
      <c r="A44">
        <v>2085208111</v>
      </c>
      <c r="B44">
        <v>2085208120</v>
      </c>
      <c r="C44" t="s">
        <v>8</v>
      </c>
      <c r="D44" t="s">
        <v>5</v>
      </c>
      <c r="E44">
        <v>6.9452E-2</v>
      </c>
      <c r="F44">
        <v>1</v>
      </c>
      <c r="G44">
        <v>34</v>
      </c>
      <c r="H44">
        <v>3.3273809523809499</v>
      </c>
      <c r="I44">
        <v>67.788601578448905</v>
      </c>
      <c r="J44">
        <f t="shared" si="0"/>
        <v>1.1298100263074817</v>
      </c>
      <c r="K44">
        <v>67.788601578448905</v>
      </c>
      <c r="L44">
        <f t="shared" si="1"/>
        <v>1.1298100263074817</v>
      </c>
      <c r="M44">
        <f t="shared" si="2"/>
        <v>16.267494475428812</v>
      </c>
      <c r="N44">
        <f t="shared" si="3"/>
        <v>16.267494475428812</v>
      </c>
    </row>
    <row r="45" spans="1:14" x14ac:dyDescent="0.35">
      <c r="A45">
        <v>2085208120</v>
      </c>
      <c r="B45">
        <v>2085208121</v>
      </c>
      <c r="C45" t="s">
        <v>8</v>
      </c>
      <c r="D45" t="s">
        <v>5</v>
      </c>
      <c r="E45">
        <v>3.0228000000000001E-2</v>
      </c>
      <c r="F45">
        <v>1</v>
      </c>
      <c r="G45">
        <v>34</v>
      </c>
      <c r="H45">
        <v>3.3273809523809499</v>
      </c>
      <c r="I45">
        <v>29.5040293801957</v>
      </c>
      <c r="J45">
        <f t="shared" si="0"/>
        <v>0.49173382300326168</v>
      </c>
      <c r="K45">
        <v>29.5040293801957</v>
      </c>
      <c r="L45">
        <f t="shared" si="1"/>
        <v>0.49173382300326168</v>
      </c>
      <c r="M45">
        <f t="shared" si="2"/>
        <v>16.267494475428798</v>
      </c>
      <c r="N45">
        <f t="shared" si="3"/>
        <v>16.267494475428798</v>
      </c>
    </row>
    <row r="46" spans="1:14" x14ac:dyDescent="0.35">
      <c r="A46">
        <v>2085208121</v>
      </c>
      <c r="B46">
        <v>2085208123</v>
      </c>
      <c r="C46" t="s">
        <v>8</v>
      </c>
      <c r="D46" t="s">
        <v>5</v>
      </c>
      <c r="E46">
        <v>4.1672000000000001E-2</v>
      </c>
      <c r="F46">
        <v>1</v>
      </c>
      <c r="G46">
        <v>34</v>
      </c>
      <c r="H46">
        <v>3.3273809523809499</v>
      </c>
      <c r="I46">
        <v>40.6739417868041</v>
      </c>
      <c r="J46">
        <f t="shared" si="0"/>
        <v>0.67789902978006833</v>
      </c>
      <c r="K46">
        <v>40.6739417868041</v>
      </c>
      <c r="L46">
        <f t="shared" si="1"/>
        <v>0.67789902978006833</v>
      </c>
      <c r="M46">
        <f t="shared" si="2"/>
        <v>16.267494475428784</v>
      </c>
      <c r="N46">
        <f t="shared" si="3"/>
        <v>16.267494475428784</v>
      </c>
    </row>
    <row r="47" spans="1:14" x14ac:dyDescent="0.35">
      <c r="A47">
        <v>6117715990</v>
      </c>
      <c r="B47">
        <v>6117715997</v>
      </c>
      <c r="C47" t="s">
        <v>8</v>
      </c>
      <c r="D47" t="s">
        <v>2</v>
      </c>
      <c r="E47">
        <v>8.7819999999999999E-3</v>
      </c>
      <c r="F47">
        <v>1</v>
      </c>
      <c r="G47">
        <v>25</v>
      </c>
      <c r="H47">
        <v>1</v>
      </c>
      <c r="I47">
        <v>30.350591999999899</v>
      </c>
      <c r="J47">
        <f t="shared" si="0"/>
        <v>0.50584319999999827</v>
      </c>
      <c r="K47">
        <v>30.350591999999899</v>
      </c>
      <c r="L47">
        <f t="shared" si="1"/>
        <v>0.50584319999999827</v>
      </c>
      <c r="M47">
        <f t="shared" si="2"/>
        <v>57.599999999999802</v>
      </c>
      <c r="N47">
        <f t="shared" si="3"/>
        <v>57.599999999999802</v>
      </c>
    </row>
    <row r="48" spans="1:14" x14ac:dyDescent="0.35">
      <c r="A48">
        <v>6117715991</v>
      </c>
      <c r="B48">
        <v>6117715990</v>
      </c>
      <c r="C48" t="s">
        <v>8</v>
      </c>
      <c r="D48" t="s">
        <v>2</v>
      </c>
      <c r="E48">
        <v>1.0826000000000001E-2</v>
      </c>
      <c r="F48">
        <v>1</v>
      </c>
      <c r="G48">
        <v>25</v>
      </c>
      <c r="H48">
        <v>1</v>
      </c>
      <c r="I48">
        <v>37.414656000000001</v>
      </c>
      <c r="J48">
        <f t="shared" si="0"/>
        <v>0.62357760000000007</v>
      </c>
      <c r="K48">
        <v>37.414656000000001</v>
      </c>
      <c r="L48">
        <f t="shared" si="1"/>
        <v>0.62357760000000007</v>
      </c>
      <c r="M48">
        <f t="shared" si="2"/>
        <v>57.6</v>
      </c>
      <c r="N48">
        <f t="shared" si="3"/>
        <v>57.6</v>
      </c>
    </row>
    <row r="49" spans="1:14" x14ac:dyDescent="0.35">
      <c r="A49">
        <v>6117715998</v>
      </c>
      <c r="B49">
        <v>6117715991</v>
      </c>
      <c r="C49" t="s">
        <v>8</v>
      </c>
      <c r="D49" t="s">
        <v>2</v>
      </c>
      <c r="E49">
        <v>7.6990000000000001E-3</v>
      </c>
      <c r="F49">
        <v>1</v>
      </c>
      <c r="G49">
        <v>25</v>
      </c>
      <c r="H49">
        <v>1</v>
      </c>
      <c r="I49">
        <v>26.607744</v>
      </c>
      <c r="J49">
        <f t="shared" si="0"/>
        <v>0.44346239999999998</v>
      </c>
      <c r="K49">
        <v>26.607744</v>
      </c>
      <c r="L49">
        <f t="shared" si="1"/>
        <v>0.44346239999999998</v>
      </c>
      <c r="M49">
        <f t="shared" si="2"/>
        <v>57.599999999999994</v>
      </c>
      <c r="N49">
        <f t="shared" si="3"/>
        <v>57.599999999999994</v>
      </c>
    </row>
    <row r="50" spans="1:14" x14ac:dyDescent="0.35">
      <c r="A50">
        <v>1278003902</v>
      </c>
      <c r="B50">
        <v>7429229534</v>
      </c>
      <c r="C50" t="s">
        <v>9</v>
      </c>
      <c r="D50" t="s">
        <v>0</v>
      </c>
      <c r="E50">
        <v>7.4199000000000001E-2</v>
      </c>
      <c r="F50">
        <v>3</v>
      </c>
      <c r="G50">
        <v>25</v>
      </c>
      <c r="H50">
        <v>8</v>
      </c>
      <c r="I50">
        <v>22.7048939999999</v>
      </c>
      <c r="J50">
        <f t="shared" si="0"/>
        <v>0.37841489999999833</v>
      </c>
      <c r="K50">
        <v>68.114682000000002</v>
      </c>
      <c r="L50">
        <f t="shared" si="1"/>
        <v>1.1352447000000001</v>
      </c>
      <c r="M50">
        <f t="shared" si="2"/>
        <v>5.0999999999999774</v>
      </c>
      <c r="N50">
        <f t="shared" si="3"/>
        <v>15.3</v>
      </c>
    </row>
    <row r="51" spans="1:14" x14ac:dyDescent="0.35">
      <c r="A51">
        <v>1280138189</v>
      </c>
      <c r="B51">
        <v>4086353064</v>
      </c>
      <c r="C51" t="s">
        <v>9</v>
      </c>
      <c r="D51" t="s">
        <v>2</v>
      </c>
      <c r="E51">
        <v>6.7380000000000001E-3</v>
      </c>
      <c r="F51">
        <v>1</v>
      </c>
      <c r="G51">
        <v>25</v>
      </c>
      <c r="H51">
        <v>1</v>
      </c>
      <c r="I51">
        <v>23.286528000000001</v>
      </c>
      <c r="J51">
        <f t="shared" si="0"/>
        <v>0.38810880000000003</v>
      </c>
      <c r="K51">
        <v>23.286528000000001</v>
      </c>
      <c r="L51">
        <f t="shared" si="1"/>
        <v>0.38810880000000003</v>
      </c>
      <c r="M51">
        <f t="shared" si="2"/>
        <v>57.6</v>
      </c>
      <c r="N51">
        <f t="shared" si="3"/>
        <v>57.6</v>
      </c>
    </row>
    <row r="52" spans="1:14" x14ac:dyDescent="0.35">
      <c r="A52">
        <v>1280138194</v>
      </c>
      <c r="B52">
        <v>1280138199</v>
      </c>
      <c r="C52" t="s">
        <v>9</v>
      </c>
      <c r="D52" t="s">
        <v>2</v>
      </c>
      <c r="E52">
        <v>3.5321999999999999E-2</v>
      </c>
      <c r="F52">
        <v>1</v>
      </c>
      <c r="G52">
        <v>25</v>
      </c>
      <c r="H52">
        <v>1</v>
      </c>
      <c r="I52">
        <v>122.07283200000001</v>
      </c>
      <c r="J52">
        <f t="shared" si="0"/>
        <v>2.0345472</v>
      </c>
      <c r="K52">
        <v>122.07283200000001</v>
      </c>
      <c r="L52">
        <f t="shared" si="1"/>
        <v>2.0345472</v>
      </c>
      <c r="M52">
        <f t="shared" si="2"/>
        <v>57.6</v>
      </c>
      <c r="N52">
        <f t="shared" si="3"/>
        <v>57.6</v>
      </c>
    </row>
    <row r="53" spans="1:14" x14ac:dyDescent="0.35">
      <c r="A53">
        <v>1400300079</v>
      </c>
      <c r="B53">
        <v>2821131429</v>
      </c>
      <c r="C53" t="s">
        <v>9</v>
      </c>
      <c r="D53" t="s">
        <v>2</v>
      </c>
      <c r="E53">
        <v>0.12682299999999999</v>
      </c>
      <c r="F53">
        <v>1</v>
      </c>
      <c r="G53">
        <v>25</v>
      </c>
      <c r="H53">
        <v>5.9181547619047601</v>
      </c>
      <c r="I53">
        <v>58.883628709077101</v>
      </c>
      <c r="J53">
        <f t="shared" si="0"/>
        <v>0.98139381181795171</v>
      </c>
      <c r="K53">
        <v>58.883628709077101</v>
      </c>
      <c r="L53">
        <f t="shared" si="1"/>
        <v>0.98139381181795171</v>
      </c>
      <c r="M53">
        <f t="shared" si="2"/>
        <v>7.7382951973849519</v>
      </c>
      <c r="N53">
        <f t="shared" si="3"/>
        <v>7.7382951973849519</v>
      </c>
    </row>
    <row r="54" spans="1:14" x14ac:dyDescent="0.35">
      <c r="A54">
        <v>4086353063</v>
      </c>
      <c r="B54">
        <v>1280138194</v>
      </c>
      <c r="C54" t="s">
        <v>9</v>
      </c>
      <c r="D54" t="s">
        <v>2</v>
      </c>
      <c r="E54">
        <v>3.7545000000000002E-2</v>
      </c>
      <c r="F54">
        <v>1</v>
      </c>
      <c r="G54">
        <v>25</v>
      </c>
      <c r="H54">
        <v>1</v>
      </c>
      <c r="I54">
        <v>129.75551999999999</v>
      </c>
      <c r="J54">
        <f t="shared" si="0"/>
        <v>2.1625919999999996</v>
      </c>
      <c r="K54">
        <v>129.75551999999999</v>
      </c>
      <c r="L54">
        <f t="shared" si="1"/>
        <v>2.1625919999999996</v>
      </c>
      <c r="M54">
        <f t="shared" si="2"/>
        <v>57.599999999999987</v>
      </c>
      <c r="N54">
        <f t="shared" si="3"/>
        <v>57.599999999999987</v>
      </c>
    </row>
    <row r="55" spans="1:14" x14ac:dyDescent="0.35">
      <c r="A55">
        <v>4086353064</v>
      </c>
      <c r="B55">
        <v>4086353063</v>
      </c>
      <c r="C55" t="s">
        <v>9</v>
      </c>
      <c r="D55" t="s">
        <v>2</v>
      </c>
      <c r="E55">
        <v>6.0400000000000002E-3</v>
      </c>
      <c r="F55">
        <v>1</v>
      </c>
      <c r="G55">
        <v>25</v>
      </c>
      <c r="H55">
        <v>1</v>
      </c>
      <c r="I55">
        <v>20.87424</v>
      </c>
      <c r="J55">
        <f t="shared" si="0"/>
        <v>0.34790399999999999</v>
      </c>
      <c r="K55">
        <v>20.87424</v>
      </c>
      <c r="L55">
        <f t="shared" si="1"/>
        <v>0.34790399999999999</v>
      </c>
      <c r="M55">
        <f t="shared" si="2"/>
        <v>57.599999999999994</v>
      </c>
      <c r="N55">
        <f t="shared" si="3"/>
        <v>57.599999999999994</v>
      </c>
    </row>
    <row r="56" spans="1:14" x14ac:dyDescent="0.35">
      <c r="A56">
        <v>6553321213</v>
      </c>
      <c r="B56">
        <v>91031771</v>
      </c>
      <c r="C56" t="s">
        <v>9</v>
      </c>
      <c r="D56" t="s">
        <v>0</v>
      </c>
      <c r="E56">
        <v>5.0425999999999999E-2</v>
      </c>
      <c r="F56">
        <v>1</v>
      </c>
      <c r="G56">
        <v>25</v>
      </c>
      <c r="H56">
        <v>5</v>
      </c>
      <c r="I56">
        <v>29.045375999999901</v>
      </c>
      <c r="J56">
        <f t="shared" si="0"/>
        <v>0.48408959999999834</v>
      </c>
      <c r="K56">
        <v>29.045375999999901</v>
      </c>
      <c r="L56">
        <f t="shared" si="1"/>
        <v>0.48408959999999834</v>
      </c>
      <c r="M56">
        <f t="shared" si="2"/>
        <v>9.5999999999999677</v>
      </c>
      <c r="N56">
        <f t="shared" si="3"/>
        <v>9.5999999999999677</v>
      </c>
    </row>
    <row r="57" spans="1:14" x14ac:dyDescent="0.35">
      <c r="A57">
        <v>7053715743</v>
      </c>
      <c r="B57">
        <v>3822223767</v>
      </c>
      <c r="C57" t="s">
        <v>9</v>
      </c>
      <c r="D57" t="s">
        <v>5</v>
      </c>
      <c r="E57">
        <v>2.5153999999999999E-2</v>
      </c>
      <c r="F57">
        <v>5</v>
      </c>
      <c r="G57">
        <v>34</v>
      </c>
      <c r="H57">
        <v>3.98710317460317</v>
      </c>
      <c r="I57">
        <v>20.048462912928301</v>
      </c>
      <c r="J57">
        <f t="shared" si="0"/>
        <v>0.334141048548805</v>
      </c>
      <c r="K57">
        <v>100.24231456464101</v>
      </c>
      <c r="L57">
        <f t="shared" si="1"/>
        <v>1.6707052427440168</v>
      </c>
      <c r="M57">
        <f t="shared" si="2"/>
        <v>13.283813649869007</v>
      </c>
      <c r="N57">
        <f t="shared" si="3"/>
        <v>66.419068249344704</v>
      </c>
    </row>
    <row r="58" spans="1:14" x14ac:dyDescent="0.35">
      <c r="A58">
        <v>4068148608</v>
      </c>
      <c r="B58">
        <v>3797730082</v>
      </c>
      <c r="C58" t="s">
        <v>10</v>
      </c>
      <c r="D58" t="s">
        <v>5</v>
      </c>
      <c r="E58">
        <v>8.8872999999999994E-2</v>
      </c>
      <c r="F58">
        <v>4</v>
      </c>
      <c r="G58">
        <v>34</v>
      </c>
      <c r="H58">
        <v>7</v>
      </c>
      <c r="I58">
        <v>36.296031932773097</v>
      </c>
      <c r="J58">
        <f t="shared" si="0"/>
        <v>0.60493386554621831</v>
      </c>
      <c r="K58">
        <v>145.18412773109199</v>
      </c>
      <c r="L58">
        <f t="shared" si="1"/>
        <v>2.4197354621848666</v>
      </c>
      <c r="M58">
        <f t="shared" si="2"/>
        <v>6.8067226890756283</v>
      </c>
      <c r="N58">
        <f t="shared" si="3"/>
        <v>27.226890756302438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6D4EEC2D94A24EAF9C3BAC991CFD94" ma:contentTypeVersion="13" ma:contentTypeDescription="Create a new document." ma:contentTypeScope="" ma:versionID="b054d79d315640e7f979a55514c0310e">
  <xsd:schema xmlns:xsd="http://www.w3.org/2001/XMLSchema" xmlns:xs="http://www.w3.org/2001/XMLSchema" xmlns:p="http://schemas.microsoft.com/office/2006/metadata/properties" xmlns:ns3="39451480-4fbc-4902-95bd-a55e8b171f37" xmlns:ns4="e1ce21d0-f4d5-41db-9b3e-b68744dcbc61" targetNamespace="http://schemas.microsoft.com/office/2006/metadata/properties" ma:root="true" ma:fieldsID="7695f2189ae8360d6f1c13971edde167" ns3:_="" ns4:_="">
    <xsd:import namespace="39451480-4fbc-4902-95bd-a55e8b171f37"/>
    <xsd:import namespace="e1ce21d0-f4d5-41db-9b3e-b68744dcbc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51480-4fbc-4902-95bd-a55e8b171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e21d0-f4d5-41db-9b3e-b68744dcb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07114A-0E49-47AF-94AB-5C68836C1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51480-4fbc-4902-95bd-a55e8b171f37"/>
    <ds:schemaRef ds:uri="e1ce21d0-f4d5-41db-9b3e-b68744dcb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86048E-34AC-4179-B537-09B96A96FB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AE1BD2-BB3F-46FC-A096-7869AE380FCC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e1ce21d0-f4d5-41db-9b3e-b68744dcbc61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9451480-4fbc-4902-95bd-a55e8b171f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cities_results_57segments_20+se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Lee Belanger</cp:lastModifiedBy>
  <dcterms:created xsi:type="dcterms:W3CDTF">2020-09-25T20:24:16Z</dcterms:created>
  <dcterms:modified xsi:type="dcterms:W3CDTF">2020-09-25T20:24:16Z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0x010100536D4EEC2D94A24EAF9C3BAC991CFD94</vt:lpwstr>
  </property>
</Properties>
</file>